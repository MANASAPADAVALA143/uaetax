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T Transactions" sheetId="1" state="visible" r:id="rId1"/>
    <sheet xmlns:r="http://schemas.openxmlformats.org/officeDocument/2006/relationships" name="VAT Summary" sheetId="2" state="visible" r:id="rId2"/>
    <sheet xmlns:r="http://schemas.openxmlformats.org/officeDocument/2006/relationships" name="VAT 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4"/>
    </font>
    <font>
      <name val="Arial"/>
      <b val="1"/>
      <color rgb="00000000"/>
      <sz val="10"/>
    </font>
    <font>
      <name val="Arial"/>
      <b val="1"/>
      <color rgb="00FFFFFF"/>
      <sz val="11"/>
    </font>
    <font>
      <name val="Arial"/>
      <color rgb="00000000"/>
      <sz val="10"/>
    </font>
    <font>
      <name val="Arial"/>
      <i val="1"/>
      <color rgb="00888888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/>
    </xf>
    <xf numFmtId="4" fontId="6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45" customWidth="1" min="5" max="5"/>
    <col width="14" customWidth="1" min="6" max="6"/>
    <col width="16" customWidth="1" min="7" max="7"/>
    <col width="16" customWidth="1" min="8" max="8"/>
    <col width="15" customWidth="1" min="9" max="9"/>
    <col width="28" customWidth="1" min="10" max="10"/>
  </cols>
  <sheetData>
    <row r="1" ht="30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TRN</t>
        </is>
      </c>
      <c r="D1" s="1" t="inlineStr">
        <is>
          <t>Transaction Date</t>
        </is>
      </c>
      <c r="E1" s="1" t="inlineStr">
        <is>
          <t>Description</t>
        </is>
      </c>
      <c r="F1" s="1" t="inlineStr">
        <is>
          <t>Amount AED</t>
        </is>
      </c>
      <c r="G1" s="1" t="inlineStr">
        <is>
          <t>Transaction Type</t>
        </is>
      </c>
      <c r="H1" s="1" t="inlineStr">
        <is>
          <t>VAT Treatment</t>
        </is>
      </c>
      <c r="I1" s="1" t="inlineStr">
        <is>
          <t>Invoice Number</t>
        </is>
      </c>
      <c r="J1" s="1" t="inlineStr">
        <is>
          <t>Vendor/Customer</t>
        </is>
      </c>
    </row>
    <row r="2">
      <c r="A2" s="2" t="n">
        <v>1</v>
      </c>
      <c r="B2" s="2" t="inlineStr">
        <is>
          <t>Al Noor Trading LLC</t>
        </is>
      </c>
      <c r="C2" s="2" t="inlineStr">
        <is>
          <t>100432567800003</t>
        </is>
      </c>
      <c r="D2" s="2" t="inlineStr">
        <is>
          <t>2024-01-05</t>
        </is>
      </c>
      <c r="E2" s="2" t="inlineStr">
        <is>
          <t>Office furniture supply to ADNOC</t>
        </is>
      </c>
      <c r="F2" s="3" t="n">
        <v>85000</v>
      </c>
      <c r="G2" s="2" t="inlineStr">
        <is>
          <t>sale</t>
        </is>
      </c>
      <c r="H2" s="2" t="inlineStr">
        <is>
          <t>standard_rated</t>
        </is>
      </c>
      <c r="I2" s="2" t="inlineStr">
        <is>
          <t>INV-2024-001</t>
        </is>
      </c>
      <c r="J2" s="2" t="inlineStr">
        <is>
          <t>ADNOC Distribution</t>
        </is>
      </c>
    </row>
    <row r="3">
      <c r="A3" s="4" t="n">
        <v>1</v>
      </c>
      <c r="B3" s="4" t="inlineStr">
        <is>
          <t>Al Noor Trading LLC</t>
        </is>
      </c>
      <c r="C3" s="4" t="inlineStr">
        <is>
          <t>100432567800003</t>
        </is>
      </c>
      <c r="D3" s="4" t="inlineStr">
        <is>
          <t>2024-01-08</t>
        </is>
      </c>
      <c r="E3" s="4" t="inlineStr">
        <is>
          <t>IT equipment export to Saudi Arabia</t>
        </is>
      </c>
      <c r="F3" s="5" t="n">
        <v>142000</v>
      </c>
      <c r="G3" s="4" t="inlineStr">
        <is>
          <t>sale</t>
        </is>
      </c>
      <c r="H3" s="4" t="inlineStr">
        <is>
          <t>zero_rated</t>
        </is>
      </c>
      <c r="I3" s="4" t="inlineStr">
        <is>
          <t>INV-2024-002</t>
        </is>
      </c>
      <c r="J3" s="4" t="inlineStr">
        <is>
          <t>Saudi Aramco</t>
        </is>
      </c>
    </row>
    <row r="4">
      <c r="A4" s="2" t="n">
        <v>1</v>
      </c>
      <c r="B4" s="2" t="inlineStr">
        <is>
          <t>Al Noor Trading LLC</t>
        </is>
      </c>
      <c r="C4" s="2" t="inlineStr">
        <is>
          <t>100432567800003</t>
        </is>
      </c>
      <c r="D4" s="2" t="inlineStr">
        <is>
          <t>2024-01-10</t>
        </is>
      </c>
      <c r="E4" s="2" t="inlineStr">
        <is>
          <t>Warehouse bare land rent — Dubai</t>
        </is>
      </c>
      <c r="F4" s="3" t="n">
        <v>22000</v>
      </c>
      <c r="G4" s="2" t="inlineStr">
        <is>
          <t>sale</t>
        </is>
      </c>
      <c r="H4" s="2" t="inlineStr">
        <is>
          <t>exempt</t>
        </is>
      </c>
      <c r="I4" s="2" t="inlineStr">
        <is>
          <t>INV-2024-003</t>
        </is>
      </c>
      <c r="J4" s="2" t="inlineStr">
        <is>
          <t>Dubai Investments PJSC</t>
        </is>
      </c>
    </row>
    <row r="5">
      <c r="A5" s="4" t="n">
        <v>1</v>
      </c>
      <c r="B5" s="4" t="inlineStr">
        <is>
          <t>Al Noor Trading LLC</t>
        </is>
      </c>
      <c r="C5" s="4" t="inlineStr">
        <is>
          <t>100432567800003</t>
        </is>
      </c>
      <c r="D5" s="4" t="inlineStr">
        <is>
          <t>2024-01-12</t>
        </is>
      </c>
      <c r="E5" s="4" t="inlineStr">
        <is>
          <t>Safety equipment supply to Emirates Steel</t>
        </is>
      </c>
      <c r="F5" s="5" t="n">
        <v>67500</v>
      </c>
      <c r="G5" s="4" t="inlineStr">
        <is>
          <t>sale</t>
        </is>
      </c>
      <c r="H5" s="4" t="inlineStr">
        <is>
          <t>standard_rated</t>
        </is>
      </c>
      <c r="I5" s="4" t="inlineStr">
        <is>
          <t>INV-2024-004</t>
        </is>
      </c>
      <c r="J5" s="4" t="inlineStr">
        <is>
          <t>Emirates Steel PJSC</t>
        </is>
      </c>
    </row>
    <row r="6">
      <c r="A6" s="2" t="n">
        <v>1</v>
      </c>
      <c r="B6" s="2" t="inlineStr">
        <is>
          <t>Al Noor Trading LLC</t>
        </is>
      </c>
      <c r="C6" s="2" t="inlineStr">
        <is>
          <t>100432567800003</t>
        </is>
      </c>
      <c r="D6" s="2" t="inlineStr">
        <is>
          <t>2024-01-15</t>
        </is>
      </c>
      <c r="E6" s="2" t="inlineStr">
        <is>
          <t>Office stationery &amp; supplies purchase</t>
        </is>
      </c>
      <c r="F6" s="3" t="n">
        <v>3200</v>
      </c>
      <c r="G6" s="2" t="inlineStr">
        <is>
          <t>purchase</t>
        </is>
      </c>
      <c r="H6" s="2" t="inlineStr">
        <is>
          <t>standard_rated</t>
        </is>
      </c>
      <c r="I6" s="2" t="inlineStr">
        <is>
          <t>BILL-2024-001</t>
        </is>
      </c>
      <c r="J6" s="2" t="inlineStr">
        <is>
          <t>Lulu Hypermarket</t>
        </is>
      </c>
    </row>
    <row r="7">
      <c r="A7" s="4" t="n">
        <v>1</v>
      </c>
      <c r="B7" s="4" t="inlineStr">
        <is>
          <t>Al Noor Trading LLC</t>
        </is>
      </c>
      <c r="C7" s="4" t="inlineStr">
        <is>
          <t>100432567800003</t>
        </is>
      </c>
      <c r="D7" s="4" t="inlineStr">
        <is>
          <t>2024-01-18</t>
        </is>
      </c>
      <c r="E7" s="4" t="inlineStr">
        <is>
          <t>Freight &amp; logistics services</t>
        </is>
      </c>
      <c r="F7" s="5" t="n">
        <v>12500</v>
      </c>
      <c r="G7" s="4" t="inlineStr">
        <is>
          <t>purchase</t>
        </is>
      </c>
      <c r="H7" s="4" t="inlineStr">
        <is>
          <t>standard_rated</t>
        </is>
      </c>
      <c r="I7" s="4" t="inlineStr">
        <is>
          <t>BILL-2024-002</t>
        </is>
      </c>
      <c r="J7" s="4" t="inlineStr">
        <is>
          <t>Aramex UAE</t>
        </is>
      </c>
    </row>
    <row r="8">
      <c r="A8" s="2" t="n">
        <v>1</v>
      </c>
      <c r="B8" s="2" t="inlineStr">
        <is>
          <t>Al Noor Trading LLC</t>
        </is>
      </c>
      <c r="C8" s="2" t="inlineStr">
        <is>
          <t>100432567800003</t>
        </is>
      </c>
      <c r="D8" s="2" t="inlineStr">
        <is>
          <t>2024-01-22</t>
        </is>
      </c>
      <c r="E8" s="2" t="inlineStr">
        <is>
          <t>Cleaning products supply to DEWA</t>
        </is>
      </c>
      <c r="F8" s="3" t="n">
        <v>29000</v>
      </c>
      <c r="G8" s="2" t="inlineStr">
        <is>
          <t>sale</t>
        </is>
      </c>
      <c r="H8" s="2" t="inlineStr">
        <is>
          <t>standard_rated</t>
        </is>
      </c>
      <c r="I8" s="2" t="inlineStr">
        <is>
          <t>INV-2024-005</t>
        </is>
      </c>
      <c r="J8" s="2" t="inlineStr">
        <is>
          <t>DEWA</t>
        </is>
      </c>
    </row>
    <row r="9">
      <c r="A9" s="4" t="n">
        <v>1</v>
      </c>
      <c r="B9" s="4" t="inlineStr">
        <is>
          <t>Al Noor Trading LLC</t>
        </is>
      </c>
      <c r="C9" s="4" t="inlineStr">
        <is>
          <t>100432567800003</t>
        </is>
      </c>
      <c r="D9" s="4" t="inlineStr">
        <is>
          <t>2024-01-25</t>
        </is>
      </c>
      <c r="E9" s="4" t="inlineStr">
        <is>
          <t>Software license annual subscription</t>
        </is>
      </c>
      <c r="F9" s="5" t="n">
        <v>8900</v>
      </c>
      <c r="G9" s="4" t="inlineStr">
        <is>
          <t>purchase</t>
        </is>
      </c>
      <c r="H9" s="4" t="inlineStr">
        <is>
          <t>standard_rated</t>
        </is>
      </c>
      <c r="I9" s="4" t="inlineStr">
        <is>
          <t>BILL-2024-003</t>
        </is>
      </c>
      <c r="J9" s="4" t="inlineStr">
        <is>
          <t>Microsoft Gulf FZ LLC</t>
        </is>
      </c>
    </row>
    <row r="10">
      <c r="A10" s="2" t="n">
        <v>1</v>
      </c>
      <c r="B10" s="2" t="inlineStr">
        <is>
          <t>Al Noor Trading LLC</t>
        </is>
      </c>
      <c r="C10" s="2" t="inlineStr">
        <is>
          <t>100432567800003</t>
        </is>
      </c>
      <c r="D10" s="2" t="inlineStr">
        <is>
          <t>2024-01-28</t>
        </is>
      </c>
      <c r="E10" s="2" t="inlineStr">
        <is>
          <t>Medical equipment export to Royal Hospital Oman</t>
        </is>
      </c>
      <c r="F10" s="3" t="n">
        <v>95000</v>
      </c>
      <c r="G10" s="2" t="inlineStr">
        <is>
          <t>sale</t>
        </is>
      </c>
      <c r="H10" s="2" t="inlineStr">
        <is>
          <t>zero_rated</t>
        </is>
      </c>
      <c r="I10" s="2" t="inlineStr">
        <is>
          <t>INV-2024-006</t>
        </is>
      </c>
      <c r="J10" s="2" t="inlineStr">
        <is>
          <t>Royal Hospital Oman</t>
        </is>
      </c>
    </row>
    <row r="11">
      <c r="A11" s="4" t="n">
        <v>1</v>
      </c>
      <c r="B11" s="4" t="inlineStr">
        <is>
          <t>Al Noor Trading LLC</t>
        </is>
      </c>
      <c r="C11" s="4" t="inlineStr">
        <is>
          <t>100432567800003</t>
        </is>
      </c>
      <c r="D11" s="4" t="inlineStr">
        <is>
          <t>2024-02-02</t>
        </is>
      </c>
      <c r="E11" s="4" t="inlineStr">
        <is>
          <t>Power tools supply to RTA Dubai</t>
        </is>
      </c>
      <c r="F11" s="5" t="n">
        <v>54000</v>
      </c>
      <c r="G11" s="4" t="inlineStr">
        <is>
          <t>sale</t>
        </is>
      </c>
      <c r="H11" s="4" t="inlineStr">
        <is>
          <t>standard_rated</t>
        </is>
      </c>
      <c r="I11" s="4" t="inlineStr">
        <is>
          <t>INV-2024-007</t>
        </is>
      </c>
      <c r="J11" s="4" t="inlineStr">
        <is>
          <t>Roads &amp; Transport Authority</t>
        </is>
      </c>
    </row>
    <row r="12">
      <c r="A12" s="2" t="n">
        <v>1</v>
      </c>
      <c r="B12" s="2" t="inlineStr">
        <is>
          <t>Al Noor Trading LLC</t>
        </is>
      </c>
      <c r="C12" s="2" t="inlineStr">
        <is>
          <t>100432567800003</t>
        </is>
      </c>
      <c r="D12" s="2" t="inlineStr">
        <is>
          <t>2024-02-05</t>
        </is>
      </c>
      <c r="E12" s="2" t="inlineStr">
        <is>
          <t>Telecoms &amp; internet services purchase</t>
        </is>
      </c>
      <c r="F12" s="3" t="n">
        <v>4800</v>
      </c>
      <c r="G12" s="2" t="inlineStr">
        <is>
          <t>purchase</t>
        </is>
      </c>
      <c r="H12" s="2" t="inlineStr">
        <is>
          <t>standard_rated</t>
        </is>
      </c>
      <c r="I12" s="2" t="inlineStr">
        <is>
          <t>BILL-2024-004</t>
        </is>
      </c>
      <c r="J12" s="2" t="inlineStr">
        <is>
          <t>du Telecom</t>
        </is>
      </c>
    </row>
    <row r="13">
      <c r="A13" s="4" t="n">
        <v>1</v>
      </c>
      <c r="B13" s="4" t="inlineStr">
        <is>
          <t>Al Noor Trading LLC</t>
        </is>
      </c>
      <c r="C13" s="4" t="inlineStr">
        <is>
          <t>100432567800003</t>
        </is>
      </c>
      <c r="D13" s="4" t="inlineStr">
        <is>
          <t>2024-02-08</t>
        </is>
      </c>
      <c r="E13" s="4" t="inlineStr">
        <is>
          <t>Construction materials export to Kuwait</t>
        </is>
      </c>
      <c r="F13" s="5" t="n">
        <v>230000</v>
      </c>
      <c r="G13" s="4" t="inlineStr">
        <is>
          <t>sale</t>
        </is>
      </c>
      <c r="H13" s="4" t="inlineStr">
        <is>
          <t>zero_rated</t>
        </is>
      </c>
      <c r="I13" s="4" t="inlineStr">
        <is>
          <t>INV-2024-008</t>
        </is>
      </c>
      <c r="J13" s="4" t="inlineStr">
        <is>
          <t>Kuwait National Petroleum</t>
        </is>
      </c>
    </row>
    <row r="14">
      <c r="A14" s="2" t="n">
        <v>1</v>
      </c>
      <c r="B14" s="2" t="inlineStr">
        <is>
          <t>Al Noor Trading LLC</t>
        </is>
      </c>
      <c r="C14" s="2" t="inlineStr">
        <is>
          <t>100432567800003</t>
        </is>
      </c>
      <c r="D14" s="2" t="inlineStr">
        <is>
          <t>2024-02-10</t>
        </is>
      </c>
      <c r="E14" s="2" t="inlineStr">
        <is>
          <t>Lab equipment supply to Mediclinic</t>
        </is>
      </c>
      <c r="F14" s="3" t="n">
        <v>38500</v>
      </c>
      <c r="G14" s="2" t="inlineStr">
        <is>
          <t>sale</t>
        </is>
      </c>
      <c r="H14" s="2" t="inlineStr">
        <is>
          <t>standard_rated</t>
        </is>
      </c>
      <c r="I14" s="2" t="inlineStr">
        <is>
          <t>INV-2024-009</t>
        </is>
      </c>
      <c r="J14" s="2" t="inlineStr">
        <is>
          <t>Mediclinic Middle East</t>
        </is>
      </c>
    </row>
    <row r="15">
      <c r="A15" s="4" t="n">
        <v>1</v>
      </c>
      <c r="B15" s="4" t="inlineStr">
        <is>
          <t>Al Noor Trading LLC</t>
        </is>
      </c>
      <c r="C15" s="4" t="inlineStr">
        <is>
          <t>100432567800003</t>
        </is>
      </c>
      <c r="D15" s="4" t="inlineStr">
        <is>
          <t>2024-02-14</t>
        </is>
      </c>
      <c r="E15" s="4" t="inlineStr">
        <is>
          <t>Forklift rental from Al Futtaim</t>
        </is>
      </c>
      <c r="F15" s="5" t="n">
        <v>15000</v>
      </c>
      <c r="G15" s="4" t="inlineStr">
        <is>
          <t>purchase</t>
        </is>
      </c>
      <c r="H15" s="4" t="inlineStr">
        <is>
          <t>standard_rated</t>
        </is>
      </c>
      <c r="I15" s="4" t="inlineStr">
        <is>
          <t>BILL-2024-005</t>
        </is>
      </c>
      <c r="J15" s="4" t="inlineStr">
        <is>
          <t>Al Futtaim Engineering</t>
        </is>
      </c>
    </row>
    <row r="16">
      <c r="A16" s="2" t="n">
        <v>1</v>
      </c>
      <c r="B16" s="2" t="inlineStr">
        <is>
          <t>Al Noor Trading LLC</t>
        </is>
      </c>
      <c r="C16" s="2" t="inlineStr">
        <is>
          <t>100432567800003</t>
        </is>
      </c>
      <c r="D16" s="2" t="inlineStr">
        <is>
          <t>2024-02-18</t>
        </is>
      </c>
      <c r="E16" s="2" t="inlineStr">
        <is>
          <t>Bare plot rent — Sharjah industrial zone</t>
        </is>
      </c>
      <c r="F16" s="3" t="n">
        <v>12000</v>
      </c>
      <c r="G16" s="2" t="inlineStr">
        <is>
          <t>sale</t>
        </is>
      </c>
      <c r="H16" s="2" t="inlineStr">
        <is>
          <t>exempt</t>
        </is>
      </c>
      <c r="I16" s="2" t="inlineStr">
        <is>
          <t>INV-2024-010</t>
        </is>
      </c>
      <c r="J16" s="2" t="inlineStr">
        <is>
          <t>Sharjah Industrial Area</t>
        </is>
      </c>
    </row>
    <row r="17">
      <c r="A17" s="4" t="n">
        <v>1</v>
      </c>
      <c r="B17" s="4" t="inlineStr">
        <is>
          <t>Al Noor Trading LLC</t>
        </is>
      </c>
      <c r="C17" s="4" t="inlineStr">
        <is>
          <t>100432567800003</t>
        </is>
      </c>
      <c r="D17" s="4" t="inlineStr">
        <is>
          <t>2024-02-20</t>
        </is>
      </c>
      <c r="E17" s="4" t="inlineStr">
        <is>
          <t>Electrical fittings supply to Emaar</t>
        </is>
      </c>
      <c r="F17" s="5" t="n">
        <v>73000</v>
      </c>
      <c r="G17" s="4" t="inlineStr">
        <is>
          <t>sale</t>
        </is>
      </c>
      <c r="H17" s="4" t="inlineStr">
        <is>
          <t>standard_rated</t>
        </is>
      </c>
      <c r="I17" s="4" t="inlineStr">
        <is>
          <t>INV-2024-011</t>
        </is>
      </c>
      <c r="J17" s="4" t="inlineStr">
        <is>
          <t>Emaar Properties PJSC</t>
        </is>
      </c>
    </row>
    <row r="18">
      <c r="A18" s="2" t="n">
        <v>1</v>
      </c>
      <c r="B18" s="2" t="inlineStr">
        <is>
          <t>Al Noor Trading LLC</t>
        </is>
      </c>
      <c r="C18" s="2" t="inlineStr">
        <is>
          <t>100432567800003</t>
        </is>
      </c>
      <c r="D18" s="2" t="inlineStr">
        <is>
          <t>2024-02-22</t>
        </is>
      </c>
      <c r="E18" s="2" t="inlineStr">
        <is>
          <t>Fuel purchase for fleet vehicles</t>
        </is>
      </c>
      <c r="F18" s="3" t="n">
        <v>9200</v>
      </c>
      <c r="G18" s="2" t="inlineStr">
        <is>
          <t>purchase</t>
        </is>
      </c>
      <c r="H18" s="2" t="inlineStr">
        <is>
          <t>standard_rated</t>
        </is>
      </c>
      <c r="I18" s="2" t="inlineStr">
        <is>
          <t>BILL-2024-006</t>
        </is>
      </c>
      <c r="J18" s="2" t="inlineStr">
        <is>
          <t>ENOC</t>
        </is>
      </c>
    </row>
    <row r="19">
      <c r="A19" s="4" t="n">
        <v>1</v>
      </c>
      <c r="B19" s="4" t="inlineStr">
        <is>
          <t>Al Noor Trading LLC</t>
        </is>
      </c>
      <c r="C19" s="4" t="inlineStr">
        <is>
          <t>100432567800003</t>
        </is>
      </c>
      <c r="D19" s="4" t="inlineStr">
        <is>
          <t>2024-02-25</t>
        </is>
      </c>
      <c r="E19" s="4" t="inlineStr">
        <is>
          <t>Industrial chemicals export to Bahrain</t>
        </is>
      </c>
      <c r="F19" s="5" t="n">
        <v>58000</v>
      </c>
      <c r="G19" s="4" t="inlineStr">
        <is>
          <t>sale</t>
        </is>
      </c>
      <c r="H19" s="4" t="inlineStr">
        <is>
          <t>zero_rated</t>
        </is>
      </c>
      <c r="I19" s="4" t="inlineStr">
        <is>
          <t>INV-2024-009</t>
        </is>
      </c>
      <c r="J19" s="4" t="inlineStr">
        <is>
          <t>Bapco Bahrain</t>
        </is>
      </c>
    </row>
    <row r="20">
      <c r="A20" s="2" t="n">
        <v>1</v>
      </c>
      <c r="B20" s="2" t="inlineStr">
        <is>
          <t>Al Noor Trading LLC</t>
        </is>
      </c>
      <c r="C20" s="2" t="inlineStr">
        <is>
          <t>100432567800003</t>
        </is>
      </c>
      <c r="D20" s="2" t="inlineStr">
        <is>
          <t>2024-02-28</t>
        </is>
      </c>
      <c r="E20" s="2" t="inlineStr">
        <is>
          <t>Security systems supply to Abu Dhabi Police</t>
        </is>
      </c>
      <c r="F20" s="3" t="n">
        <v>125000</v>
      </c>
      <c r="G20" s="2" t="inlineStr">
        <is>
          <t>sale</t>
        </is>
      </c>
      <c r="H20" s="2" t="inlineStr">
        <is>
          <t>standard_rated</t>
        </is>
      </c>
      <c r="I20" s="2" t="inlineStr">
        <is>
          <t>INV-2024-013</t>
        </is>
      </c>
      <c r="J20" s="2" t="inlineStr">
        <is>
          <t>Abu Dhabi Police GHQ</t>
        </is>
      </c>
    </row>
    <row r="21">
      <c r="A21" s="4" t="n">
        <v>1</v>
      </c>
      <c r="B21" s="4" t="inlineStr">
        <is>
          <t>Al Noor Trading LLC</t>
        </is>
      </c>
      <c r="C21" s="4" t="inlineStr">
        <is>
          <t>100432567800003</t>
        </is>
      </c>
      <c r="D21" s="4" t="inlineStr">
        <is>
          <t>2024-03-03</t>
        </is>
      </c>
      <c r="E21" s="4" t="inlineStr">
        <is>
          <t>Packaging materials purchase</t>
        </is>
      </c>
      <c r="F21" s="5" t="n">
        <v>6700</v>
      </c>
      <c r="G21" s="4" t="inlineStr">
        <is>
          <t>purchase</t>
        </is>
      </c>
      <c r="H21" s="4" t="inlineStr">
        <is>
          <t>standard_rated</t>
        </is>
      </c>
      <c r="I21" s="4" t="inlineStr">
        <is>
          <t>BILL-2024-007</t>
        </is>
      </c>
      <c r="J21" s="4" t="inlineStr">
        <is>
          <t>Printpack UAE</t>
        </is>
      </c>
    </row>
    <row r="22">
      <c r="A22" s="2" t="n">
        <v>1</v>
      </c>
      <c r="B22" s="2" t="inlineStr">
        <is>
          <t>Al Noor Trading LLC</t>
        </is>
      </c>
      <c r="C22" s="2" t="inlineStr">
        <is>
          <t>100432567800003</t>
        </is>
      </c>
      <c r="D22" s="2" t="inlineStr">
        <is>
          <t>2024-03-06</t>
        </is>
      </c>
      <c r="E22" s="2" t="inlineStr">
        <is>
          <t>HVAC equipment supply to Etisalat HQ</t>
        </is>
      </c>
      <c r="F22" s="3" t="n">
        <v>47000</v>
      </c>
      <c r="G22" s="2" t="inlineStr">
        <is>
          <t>sale</t>
        </is>
      </c>
      <c r="H22" s="2" t="inlineStr">
        <is>
          <t>standard_rated</t>
        </is>
      </c>
      <c r="I22" s="2" t="inlineStr">
        <is>
          <t>INV-2024-014</t>
        </is>
      </c>
      <c r="J22" s="2" t="inlineStr">
        <is>
          <t>Etisalat (e&amp;)</t>
        </is>
      </c>
    </row>
    <row r="23">
      <c r="A23" s="4" t="n">
        <v>1</v>
      </c>
      <c r="B23" s="4" t="inlineStr">
        <is>
          <t>Al Noor Trading LLC</t>
        </is>
      </c>
      <c r="C23" s="4" t="inlineStr">
        <is>
          <t>100432567800003</t>
        </is>
      </c>
      <c r="D23" s="4" t="inlineStr">
        <is>
          <t>2024-03-08</t>
        </is>
      </c>
      <c r="E23" s="4" t="inlineStr">
        <is>
          <t>Accounting software purchase</t>
        </is>
      </c>
      <c r="F23" s="5" t="n">
        <v>5500</v>
      </c>
      <c r="G23" s="4" t="inlineStr">
        <is>
          <t>purchase</t>
        </is>
      </c>
      <c r="H23" s="4" t="inlineStr">
        <is>
          <t>standard_rated</t>
        </is>
      </c>
      <c r="I23" s="4" t="inlineStr">
        <is>
          <t>BILL-2024-008</t>
        </is>
      </c>
      <c r="J23" s="4" t="inlineStr">
        <is>
          <t>Sage Middle East</t>
        </is>
      </c>
    </row>
    <row r="24">
      <c r="A24" s="2" t="n">
        <v>1</v>
      </c>
      <c r="B24" s="2" t="inlineStr">
        <is>
          <t>Al Noor Trading LLC</t>
        </is>
      </c>
      <c r="C24" s="2" t="inlineStr">
        <is>
          <t>100432567800003</t>
        </is>
      </c>
      <c r="D24" s="2" t="inlineStr">
        <is>
          <t>2024-03-10</t>
        </is>
      </c>
      <c r="E24" s="2" t="inlineStr">
        <is>
          <t>Medical supplies export to Qatar</t>
        </is>
      </c>
      <c r="F24" s="3" t="n">
        <v>175000</v>
      </c>
      <c r="G24" s="2" t="inlineStr">
        <is>
          <t>sale</t>
        </is>
      </c>
      <c r="H24" s="2" t="inlineStr">
        <is>
          <t>zero_rated</t>
        </is>
      </c>
      <c r="I24" s="2" t="inlineStr">
        <is>
          <t>INV-2024-015</t>
        </is>
      </c>
      <c r="J24" s="2" t="inlineStr">
        <is>
          <t>Hamad Medical Corp Qatar</t>
        </is>
      </c>
    </row>
    <row r="25">
      <c r="A25" s="4" t="n">
        <v>1</v>
      </c>
      <c r="B25" s="4" t="inlineStr">
        <is>
          <t>Al Noor Trading LLC</t>
        </is>
      </c>
      <c r="C25" s="4" t="inlineStr">
        <is>
          <t>100432567800003</t>
        </is>
      </c>
      <c r="D25" s="4" t="inlineStr">
        <is>
          <t>2024-03-13</t>
        </is>
      </c>
      <c r="E25" s="4" t="inlineStr">
        <is>
          <t>Generator parts supply to ENOC</t>
        </is>
      </c>
      <c r="F25" s="5" t="n">
        <v>62000</v>
      </c>
      <c r="G25" s="4" t="inlineStr">
        <is>
          <t>sale</t>
        </is>
      </c>
      <c r="H25" s="4" t="inlineStr">
        <is>
          <t>standard_rated</t>
        </is>
      </c>
      <c r="I25" s="4" t="inlineStr">
        <is>
          <t>INV-2024-016</t>
        </is>
      </c>
      <c r="J25" s="4" t="inlineStr">
        <is>
          <t>ENOC</t>
        </is>
      </c>
    </row>
    <row r="26">
      <c r="A26" s="2" t="n">
        <v>1</v>
      </c>
      <c r="B26" s="2" t="inlineStr">
        <is>
          <t>Al Noor Trading LLC</t>
        </is>
      </c>
      <c r="C26" s="2" t="inlineStr">
        <is>
          <t>100432567800003</t>
        </is>
      </c>
      <c r="D26" s="2" t="inlineStr">
        <is>
          <t>2024-03-15</t>
        </is>
      </c>
      <c r="E26" s="2" t="inlineStr">
        <is>
          <t>Courier &amp; document services purchase</t>
        </is>
      </c>
      <c r="F26" s="3" t="n">
        <v>2100</v>
      </c>
      <c r="G26" s="2" t="inlineStr">
        <is>
          <t>purchase</t>
        </is>
      </c>
      <c r="H26" s="2" t="inlineStr">
        <is>
          <t>standard_rated</t>
        </is>
      </c>
      <c r="I26" s="2" t="inlineStr">
        <is>
          <t>BILL-2024-009</t>
        </is>
      </c>
      <c r="J26" s="2" t="inlineStr">
        <is>
          <t>DHL Express UAE</t>
        </is>
      </c>
    </row>
    <row r="27">
      <c r="A27" s="4" t="n">
        <v>1</v>
      </c>
      <c r="B27" s="4" t="inlineStr">
        <is>
          <t>Al Noor Trading LLC</t>
        </is>
      </c>
      <c r="C27" s="4" t="inlineStr">
        <is>
          <t>100432567800003</t>
        </is>
      </c>
      <c r="D27" s="4" t="inlineStr">
        <is>
          <t>2024-03-18</t>
        </is>
      </c>
      <c r="E27" s="4" t="inlineStr">
        <is>
          <t>Industrial land bare plot rent — Jebel Ali</t>
        </is>
      </c>
      <c r="F27" s="5" t="n">
        <v>35000</v>
      </c>
      <c r="G27" s="4" t="inlineStr">
        <is>
          <t>sale</t>
        </is>
      </c>
      <c r="H27" s="4" t="inlineStr">
        <is>
          <t>exempt</t>
        </is>
      </c>
      <c r="I27" s="4" t="inlineStr">
        <is>
          <t>INV-2024-017</t>
        </is>
      </c>
      <c r="J27" s="4" t="inlineStr">
        <is>
          <t>JAFZA</t>
        </is>
      </c>
    </row>
    <row r="28">
      <c r="A28" s="2" t="n">
        <v>1</v>
      </c>
      <c r="B28" s="2" t="inlineStr">
        <is>
          <t>Al Noor Trading LLC</t>
        </is>
      </c>
      <c r="C28" s="2" t="inlineStr">
        <is>
          <t>100432567800003</t>
        </is>
      </c>
      <c r="D28" s="2" t="inlineStr">
        <is>
          <t>2024-03-20</t>
        </is>
      </c>
      <c r="E28" s="2" t="inlineStr">
        <is>
          <t>Fire safety equipment to Dubai Civil Defence</t>
        </is>
      </c>
      <c r="F28" s="3" t="n">
        <v>89000</v>
      </c>
      <c r="G28" s="2" t="inlineStr">
        <is>
          <t>sale</t>
        </is>
      </c>
      <c r="H28" s="2" t="inlineStr">
        <is>
          <t>standard_rated</t>
        </is>
      </c>
      <c r="I28" s="2" t="inlineStr">
        <is>
          <t>INV-2024-018</t>
        </is>
      </c>
      <c r="J28" s="2" t="inlineStr">
        <is>
          <t>Dubai Civil Defence</t>
        </is>
      </c>
    </row>
    <row r="29">
      <c r="A29" s="4" t="n">
        <v>1</v>
      </c>
      <c r="B29" s="4" t="inlineStr">
        <is>
          <t>Al Noor Trading LLC</t>
        </is>
      </c>
      <c r="C29" s="4" t="inlineStr">
        <is>
          <t>100432567800003</t>
        </is>
      </c>
      <c r="D29" s="4" t="inlineStr">
        <is>
          <t>2024-03-22</t>
        </is>
      </c>
      <c r="E29" s="4" t="inlineStr">
        <is>
          <t>Vehicle maintenance purchase</t>
        </is>
      </c>
      <c r="F29" s="5" t="n">
        <v>7400</v>
      </c>
      <c r="G29" s="4" t="inlineStr">
        <is>
          <t>purchase</t>
        </is>
      </c>
      <c r="H29" s="4" t="inlineStr">
        <is>
          <t>standard_rated</t>
        </is>
      </c>
      <c r="I29" s="4" t="inlineStr">
        <is>
          <t>BILL-2024-010</t>
        </is>
      </c>
      <c r="J29" s="4" t="inlineStr">
        <is>
          <t>Al Futtaim Motors</t>
        </is>
      </c>
    </row>
    <row r="30">
      <c r="A30" s="2" t="n">
        <v>1</v>
      </c>
      <c r="B30" s="2" t="inlineStr">
        <is>
          <t>Al Noor Trading LLC</t>
        </is>
      </c>
      <c r="C30" s="2" t="inlineStr">
        <is>
          <t>100432567800003</t>
        </is>
      </c>
      <c r="D30" s="2" t="inlineStr">
        <is>
          <t>2024-03-25</t>
        </is>
      </c>
      <c r="E30" s="2" t="inlineStr">
        <is>
          <t>Office fit-out supply to First Abu Dhabi Bank</t>
        </is>
      </c>
      <c r="F30" s="3" t="n">
        <v>250000</v>
      </c>
      <c r="G30" s="2" t="inlineStr">
        <is>
          <t>sale</t>
        </is>
      </c>
      <c r="H30" s="2" t="inlineStr">
        <is>
          <t>standard_rated</t>
        </is>
      </c>
      <c r="I30" s="2" t="inlineStr">
        <is>
          <t>INV-2024-019</t>
        </is>
      </c>
      <c r="J30" s="2" t="inlineStr">
        <is>
          <t>First Abu Dhabi Bank</t>
        </is>
      </c>
    </row>
    <row r="31">
      <c r="A31" s="4" t="n">
        <v>1</v>
      </c>
      <c r="B31" s="4" t="inlineStr">
        <is>
          <t>Al Noor Trading LLC</t>
        </is>
      </c>
      <c r="C31" s="4" t="inlineStr">
        <is>
          <t>100432567800003</t>
        </is>
      </c>
      <c r="D31" s="4" t="inlineStr">
        <is>
          <t>2024-03-28</t>
        </is>
      </c>
      <c r="E31" s="4" t="inlineStr">
        <is>
          <t>IT networking equipment export to Egypt</t>
        </is>
      </c>
      <c r="F31" s="5" t="n">
        <v>88000</v>
      </c>
      <c r="G31" s="4" t="inlineStr">
        <is>
          <t>sale</t>
        </is>
      </c>
      <c r="H31" s="4" t="inlineStr">
        <is>
          <t>zero_rated</t>
        </is>
      </c>
      <c r="I31" s="4" t="inlineStr">
        <is>
          <t>INV-2024-020</t>
        </is>
      </c>
      <c r="J31" s="4" t="inlineStr">
        <is>
          <t>Telecom Egypt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18" customWidth="1" min="3" max="3"/>
    <col width="24" customWidth="1" min="4" max="4"/>
  </cols>
  <sheetData>
    <row r="1" ht="36" customHeight="1">
      <c r="A1" s="6" t="inlineStr">
        <is>
          <t>UAE FEDERAL TAX AUTHORITY — VAT RETURN</t>
        </is>
      </c>
    </row>
    <row r="2">
      <c r="A2" s="7" t="inlineStr">
        <is>
          <t>Company Name:</t>
        </is>
      </c>
      <c r="B2" s="8" t="inlineStr">
        <is>
          <t>Al Noor Trading LLC</t>
        </is>
      </c>
    </row>
    <row r="3">
      <c r="A3" s="7" t="inlineStr">
        <is>
          <t>TRN:</t>
        </is>
      </c>
      <c r="B3" s="8" t="inlineStr">
        <is>
          <t>100432567800003</t>
        </is>
      </c>
    </row>
    <row r="4">
      <c r="A4" s="7" t="inlineStr">
        <is>
          <t>Period:</t>
        </is>
      </c>
      <c r="B4" s="8" t="inlineStr">
        <is>
          <t>Q1 2024  (01 Jan 2024 — 31 Mar 2024)</t>
        </is>
      </c>
    </row>
    <row r="5">
      <c r="A5" s="7" t="inlineStr">
        <is>
          <t>Filing Deadline:</t>
        </is>
      </c>
      <c r="B5" s="8" t="inlineStr">
        <is>
          <t>28 April 2024</t>
        </is>
      </c>
    </row>
    <row r="7" ht="26" customHeight="1">
      <c r="A7" s="9" t="inlineStr">
        <is>
          <t>VAT RETURN BOXES</t>
        </is>
      </c>
    </row>
    <row r="8">
      <c r="A8" s="10" t="inlineStr">
        <is>
          <t>Box</t>
        </is>
      </c>
      <c r="B8" s="10" t="inlineStr">
        <is>
          <t>Description</t>
        </is>
      </c>
      <c r="C8" s="10" t="inlineStr">
        <is>
          <t>Amount (AED)</t>
        </is>
      </c>
      <c r="D8" s="10" t="inlineStr">
        <is>
          <t>Notes</t>
        </is>
      </c>
    </row>
    <row r="9">
      <c r="A9" s="11" t="inlineStr">
        <is>
          <t>Box 1</t>
        </is>
      </c>
      <c r="B9" s="12" t="inlineStr">
        <is>
          <t>Standard Rated Supplies (Sales)</t>
        </is>
      </c>
      <c r="C9" s="13">
        <f>SUMPRODUCT(('VAT Transactions'!F2:F31)*(('VAT Transactions'!G2:G31)="sale")*(('VAT Transactions'!H2:H31)="standard_rated"))</f>
        <v/>
      </c>
      <c r="D9" s="12" t="inlineStr">
        <is>
          <t>5% VAT applies</t>
        </is>
      </c>
    </row>
    <row r="10">
      <c r="A10" s="14" t="inlineStr">
        <is>
          <t>Box 2</t>
        </is>
      </c>
      <c r="B10" s="15" t="inlineStr">
        <is>
          <t>Output VAT on Standard Rated Supplies (5%)</t>
        </is>
      </c>
      <c r="C10" s="16">
        <f>C9*0.05</f>
        <v/>
      </c>
      <c r="D10" s="15" t="inlineStr">
        <is>
          <t>Box 1 × 5%</t>
        </is>
      </c>
    </row>
    <row r="11">
      <c r="A11" s="11" t="inlineStr">
        <is>
          <t>Box 3</t>
        </is>
      </c>
      <c r="B11" s="12" t="inlineStr">
        <is>
          <t>Zero Rated Supplies (Exports)</t>
        </is>
      </c>
      <c r="C11" s="13">
        <f>SUMPRODUCT(('VAT Transactions'!F2:F31)*(('VAT Transactions'!G2:G31)="sale")*(('VAT Transactions'!H2:H31)="zero_rated"))</f>
        <v/>
      </c>
      <c r="D11" s="12" t="inlineStr">
        <is>
          <t>0% VAT — exports</t>
        </is>
      </c>
    </row>
    <row r="12">
      <c r="A12" s="14" t="inlineStr">
        <is>
          <t>Box 4</t>
        </is>
      </c>
      <c r="B12" s="15" t="inlineStr">
        <is>
          <t>Exempt Supplies</t>
        </is>
      </c>
      <c r="C12" s="16">
        <f>SUMPRODUCT(('VAT Transactions'!F2:F31)*(('VAT Transactions'!G2:G31)="sale")*(('VAT Transactions'!H2:H31)="exempt"))</f>
        <v/>
      </c>
      <c r="D12" s="15" t="inlineStr">
        <is>
          <t>Bare land rent etc.</t>
        </is>
      </c>
    </row>
    <row r="13">
      <c r="A13" s="11" t="inlineStr">
        <is>
          <t>Box 5</t>
        </is>
      </c>
      <c r="B13" s="12" t="inlineStr">
        <is>
          <t>Total Taxable Supplies (Box 1+3+4)</t>
        </is>
      </c>
      <c r="C13" s="13">
        <f>C9+C11+C12</f>
        <v/>
      </c>
      <c r="D13" s="12" t="inlineStr">
        <is>
          <t>Boxes 1 + 3 + 4</t>
        </is>
      </c>
    </row>
    <row r="14">
      <c r="A14" s="14" t="inlineStr">
        <is>
          <t>Box 6</t>
        </is>
      </c>
      <c r="B14" s="15" t="inlineStr">
        <is>
          <t>Taxable Expenses (Standard Rated Purchases)</t>
        </is>
      </c>
      <c r="C14" s="16">
        <f>SUMPRODUCT(('VAT Transactions'!F2:F31)*(('VAT Transactions'!G2:G31)="purchase")*(('VAT Transactions'!H2:H31)="standard_rated"))</f>
        <v/>
      </c>
      <c r="D14" s="15" t="inlineStr">
        <is>
          <t>Input purchases</t>
        </is>
      </c>
    </row>
    <row r="15">
      <c r="A15" s="11" t="inlineStr">
        <is>
          <t>Box 7</t>
        </is>
      </c>
      <c r="B15" s="12" t="inlineStr">
        <is>
          <t>Input VAT Recoverable (5%)</t>
        </is>
      </c>
      <c r="C15" s="13">
        <f>C14*0.05</f>
        <v/>
      </c>
      <c r="D15" s="12" t="inlineStr">
        <is>
          <t>Box 6 × 5%</t>
        </is>
      </c>
    </row>
    <row r="16">
      <c r="A16" s="17" t="inlineStr">
        <is>
          <t>Box 8</t>
        </is>
      </c>
      <c r="B16" s="18" t="inlineStr">
        <is>
          <t>NET VAT PAYABLE / (REFUNDABLE)</t>
        </is>
      </c>
      <c r="C16" s="19">
        <f>C10-C15</f>
        <v/>
      </c>
      <c r="D16" s="20" t="inlineStr">
        <is>
          <t>Box 2 − Box 7</t>
        </is>
      </c>
    </row>
  </sheetData>
  <mergeCells count="6">
    <mergeCell ref="A1:D1"/>
    <mergeCell ref="B3:D3"/>
    <mergeCell ref="B5:D5"/>
    <mergeCell ref="B4:D4"/>
    <mergeCell ref="A7:D7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  <col width="12" customWidth="1" min="4" max="4"/>
    <col width="16" customWidth="1" min="5" max="5"/>
    <col width="14" customWidth="1" min="6" max="6"/>
    <col width="14" customWidth="1" min="7" max="7"/>
    <col width="28" customWidth="1" min="8" max="8"/>
    <col width="22" customWidth="1" min="9" max="9"/>
    <col width="28" customWidth="1" min="10" max="10"/>
    <col width="50" customWidth="1" min="11" max="11"/>
    <col width="50" customWidth="1" min="12" max="12"/>
  </cols>
  <sheetData>
    <row r="1" ht="30" customHeight="1">
      <c r="A1" s="1" t="inlineStr">
        <is>
          <t>assessment_date</t>
        </is>
      </c>
      <c r="B1" s="1" t="inlineStr">
        <is>
          <t>company_name</t>
        </is>
      </c>
      <c r="C1" s="1" t="inlineStr">
        <is>
          <t>trn</t>
        </is>
      </c>
      <c r="D1" s="1" t="inlineStr">
        <is>
          <t>period</t>
        </is>
      </c>
      <c r="E1" s="1" t="inlineStr">
        <is>
          <t>filing_deadline</t>
        </is>
      </c>
      <c r="F1" s="1" t="inlineStr">
        <is>
          <t>days_to_filing</t>
        </is>
      </c>
      <c r="G1" s="1" t="inlineStr">
        <is>
          <t>urgency_level</t>
        </is>
      </c>
      <c r="H1" s="1" t="inlineStr">
        <is>
          <t>box1_standard_rated_supplies</t>
        </is>
      </c>
      <c r="I1" s="1" t="inlineStr">
        <is>
          <t>box2_vat_on_supplies</t>
        </is>
      </c>
      <c r="J1" s="1" t="inlineStr">
        <is>
          <t>box8_vat_payable_or_refundable</t>
        </is>
      </c>
      <c r="K1" s="1" t="inlineStr">
        <is>
          <t>combined_report</t>
        </is>
      </c>
      <c r="L1" s="1" t="inlineStr">
        <is>
          <t>claude_narrative</t>
        </is>
      </c>
    </row>
    <row r="2">
      <c r="A2" s="21" t="inlineStr">
        <is>
          <t>← n8n workflow writes rows here automatically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2026-05-15T00:49:44Z</dcterms:created>
  <dcterms:modified xmlns:dcterms="http://purl.org/dc/terms/" xmlns:xsi="http://www.w3.org/2001/XMLSchema-instance" xsi:type="dcterms:W3CDTF">2026-05-15T00:49:44Z</dcterms:modified>
</cp:coreProperties>
</file>